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PK_DIADashboard\"/>
    </mc:Choice>
  </mc:AlternateContent>
  <xr:revisionPtr revIDLastSave="0" documentId="13_ncr:1_{5932FDB7-F7D7-44B0-AC39-64E5F181C23D}" xr6:coauthVersionLast="47" xr6:coauthVersionMax="47" xr10:uidLastSave="{00000000-0000-0000-0000-000000000000}"/>
  <bookViews>
    <workbookView xWindow="-108" yWindow="-108" windowWidth="23256" windowHeight="13176" xr2:uid="{B2071551-BCBD-4A58-A3DE-0491E3069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3" i="1" l="1"/>
  <c r="D74" i="1"/>
  <c r="D75" i="1"/>
  <c r="D76" i="1"/>
  <c r="D77" i="1"/>
  <c r="D78" i="1"/>
  <c r="D79" i="1"/>
  <c r="D80" i="1"/>
  <c r="D81" i="1"/>
  <c r="D72" i="1"/>
  <c r="D24" i="1"/>
  <c r="D27" i="1" s="1"/>
  <c r="D39" i="1" s="1"/>
  <c r="E24" i="1"/>
  <c r="E30" i="1" s="1"/>
  <c r="F24" i="1"/>
  <c r="F32" i="1" s="1"/>
  <c r="G24" i="1"/>
  <c r="G25" i="1" s="1"/>
  <c r="C24" i="1"/>
  <c r="C26" i="1" s="1"/>
  <c r="G21" i="1"/>
  <c r="F21" i="1"/>
  <c r="E21" i="1"/>
  <c r="D21" i="1"/>
  <c r="C21" i="1"/>
  <c r="K14" i="1"/>
  <c r="G32" i="1" l="1"/>
  <c r="F26" i="1"/>
  <c r="E32" i="1"/>
  <c r="G37" i="1"/>
  <c r="E26" i="1"/>
  <c r="E38" i="1" s="1"/>
  <c r="C29" i="1"/>
  <c r="C41" i="1" s="1"/>
  <c r="F38" i="1"/>
  <c r="C28" i="1"/>
  <c r="C27" i="1"/>
  <c r="D29" i="1"/>
  <c r="D41" i="1" s="1"/>
  <c r="C40" i="1"/>
  <c r="C39" i="1"/>
  <c r="D26" i="1"/>
  <c r="D38" i="1" s="1"/>
  <c r="C38" i="1"/>
  <c r="D33" i="1"/>
  <c r="D45" i="1" s="1"/>
  <c r="F44" i="1"/>
  <c r="E44" i="1"/>
  <c r="D32" i="1"/>
  <c r="D44" i="1" s="1"/>
  <c r="D30" i="1"/>
  <c r="D42" i="1" s="1"/>
  <c r="E42" i="1"/>
  <c r="E29" i="1"/>
  <c r="E41" i="1" s="1"/>
  <c r="G44" i="1"/>
  <c r="C31" i="1"/>
  <c r="C43" i="1" s="1"/>
  <c r="C32" i="1"/>
  <c r="C44" i="1" s="1"/>
  <c r="C33" i="1"/>
  <c r="C45" i="1" s="1"/>
  <c r="C34" i="1"/>
  <c r="C46" i="1" s="1"/>
  <c r="C25" i="1"/>
  <c r="C37" i="1" s="1"/>
  <c r="G26" i="1"/>
  <c r="G38" i="1" s="1"/>
  <c r="G30" i="1"/>
  <c r="G42" i="1" s="1"/>
  <c r="G33" i="1"/>
  <c r="G45" i="1" s="1"/>
  <c r="G27" i="1"/>
  <c r="G39" i="1" s="1"/>
  <c r="G29" i="1"/>
  <c r="G41" i="1" s="1"/>
  <c r="G31" i="1"/>
  <c r="G43" i="1" s="1"/>
  <c r="G34" i="1"/>
  <c r="G46" i="1" s="1"/>
  <c r="G28" i="1"/>
  <c r="G40" i="1" s="1"/>
  <c r="F30" i="1"/>
  <c r="F42" i="1" s="1"/>
  <c r="F33" i="1"/>
  <c r="F45" i="1" s="1"/>
  <c r="F27" i="1"/>
  <c r="F39" i="1" s="1"/>
  <c r="F31" i="1"/>
  <c r="F43" i="1" s="1"/>
  <c r="F34" i="1"/>
  <c r="F46" i="1" s="1"/>
  <c r="F28" i="1"/>
  <c r="F40" i="1" s="1"/>
  <c r="F25" i="1"/>
  <c r="F37" i="1" s="1"/>
  <c r="F29" i="1"/>
  <c r="F41" i="1" s="1"/>
  <c r="C30" i="1"/>
  <c r="C42" i="1" s="1"/>
  <c r="E25" i="1"/>
  <c r="E37" i="1" s="1"/>
  <c r="E28" i="1"/>
  <c r="E40" i="1" s="1"/>
  <c r="D25" i="1"/>
  <c r="D37" i="1" s="1"/>
  <c r="E34" i="1"/>
  <c r="E46" i="1" s="1"/>
  <c r="E31" i="1"/>
  <c r="E43" i="1" s="1"/>
  <c r="D28" i="1"/>
  <c r="D40" i="1" s="1"/>
  <c r="D34" i="1"/>
  <c r="D46" i="1" s="1"/>
  <c r="D31" i="1"/>
  <c r="D43" i="1" s="1"/>
  <c r="E27" i="1"/>
  <c r="E39" i="1" s="1"/>
  <c r="E33" i="1"/>
  <c r="E45" i="1" s="1"/>
  <c r="G49" i="1" l="1"/>
  <c r="C49" i="1"/>
  <c r="C51" i="1"/>
  <c r="G51" i="1"/>
  <c r="E51" i="1"/>
  <c r="E49" i="1"/>
  <c r="F51" i="1"/>
  <c r="F49" i="1"/>
  <c r="D51" i="1"/>
  <c r="D49" i="1"/>
  <c r="C63" i="1" l="1"/>
  <c r="C64" i="1"/>
  <c r="D58" i="1"/>
  <c r="D57" i="1"/>
  <c r="D59" i="1"/>
  <c r="D56" i="1"/>
  <c r="D63" i="1"/>
  <c r="D55" i="1"/>
  <c r="C57" i="1"/>
  <c r="C56" i="1"/>
  <c r="C59" i="1"/>
  <c r="C58" i="1"/>
  <c r="C60" i="1"/>
  <c r="D61" i="1"/>
  <c r="C61" i="1"/>
  <c r="D62" i="1"/>
  <c r="C62" i="1"/>
  <c r="D64" i="1"/>
  <c r="C55" i="1"/>
  <c r="D60" i="1"/>
  <c r="C67" i="1" l="1"/>
  <c r="C77" i="1" s="1"/>
  <c r="C68" i="1"/>
  <c r="C72" i="1" l="1"/>
  <c r="C73" i="1"/>
  <c r="C76" i="1"/>
  <c r="C78" i="1"/>
  <c r="C79" i="1"/>
  <c r="C80" i="1"/>
  <c r="C81" i="1"/>
  <c r="C75" i="1"/>
  <c r="C74" i="1"/>
</calcChain>
</file>

<file path=xl/sharedStrings.xml><?xml version="1.0" encoding="utf-8"?>
<sst xmlns="http://schemas.openxmlformats.org/spreadsheetml/2006/main" count="84" uniqueCount="52">
  <si>
    <t xml:space="preserve">Kelompok : </t>
  </si>
  <si>
    <t>Nama</t>
  </si>
  <si>
    <t>Muhamad Sauzan Rizki Asakir</t>
  </si>
  <si>
    <t>NPM</t>
  </si>
  <si>
    <t>Alternatif</t>
  </si>
  <si>
    <t>C1</t>
  </si>
  <si>
    <t>C2</t>
  </si>
  <si>
    <t>C3</t>
  </si>
  <si>
    <t>C4</t>
  </si>
  <si>
    <t>C5</t>
  </si>
  <si>
    <t>Kriteria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</si>
  <si>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</si>
  <si>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</si>
  <si>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</si>
  <si>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</si>
  <si>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</si>
  <si>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</si>
  <si>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</si>
  <si>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</si>
  <si>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</si>
  <si>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</si>
  <si>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Muhamad Gilang Rizqy Suryana</t>
  </si>
  <si>
    <t>Bobot</t>
  </si>
  <si>
    <t>Cost</t>
  </si>
  <si>
    <t>Benefit</t>
  </si>
  <si>
    <t>Nama Kriteria</t>
  </si>
  <si>
    <t>Tes Penerimaan Mahasiswa Baru</t>
  </si>
  <si>
    <t>Hasil Wawancara</t>
  </si>
  <si>
    <t>Surat Penunjang (Keterangan Tidak Mampu, Rekomendasi, dll.)</t>
  </si>
  <si>
    <t>Data Prestasi</t>
  </si>
  <si>
    <t>Penghasilan Orang tua</t>
  </si>
  <si>
    <t>Bobot(W)</t>
  </si>
  <si>
    <t>Total  Bobot</t>
  </si>
  <si>
    <t>Membuat Matrik Ternomalisasi ('R)</t>
  </si>
  <si>
    <t>PEMBAGI</t>
  </si>
  <si>
    <t>R</t>
  </si>
  <si>
    <t>MEMBUAT MATRIKS TERNORMALISASI TERBOBOT Y</t>
  </si>
  <si>
    <t>Y</t>
  </si>
  <si>
    <t>SOLUSI IDEAL POSITIF</t>
  </si>
  <si>
    <t>A+</t>
  </si>
  <si>
    <t>SOLUSI IDEAL NEGATIF</t>
  </si>
  <si>
    <t>A-</t>
  </si>
  <si>
    <t>Menghitung Manhatan untuk atribut positif</t>
  </si>
  <si>
    <t>D+</t>
  </si>
  <si>
    <t>D-</t>
  </si>
  <si>
    <t>Menghitung Peringkat</t>
  </si>
  <si>
    <t>Ri</t>
  </si>
  <si>
    <t>Peringkat</t>
  </si>
  <si>
    <t>Menentukan positif Ideal alternatif (PIA)</t>
  </si>
  <si>
    <t>PIA</t>
  </si>
  <si>
    <t>https://doi.org/10.53580/naratif.v7i2.320</t>
  </si>
  <si>
    <t>Referensi Jurnal Yang Dipakai: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</si>
</sst>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"/>
    <numFmt numFmtId="167" formatCode="0.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167" fontId="0" fillId="0" borderId="1" xfId="0" applyNumberFormat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72470</xdr:colOff>
      <xdr:row>52</xdr:row>
      <xdr:rowOff>64689</xdr:rowOff>
    </xdr:from>
    <xdr:to>
      <xdr:col>9</xdr:col>
      <xdr:colOff>2981827</xdr:colOff>
      <xdr:row>55</xdr:row>
      <xdr:rowOff>167407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F850D-4647-4A83-B4BB-8AE501A6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513" y="9759923"/>
          <a:ext cx="4173952" cy="662058"/>
        </a:xfrm>
        <a:prstGeom prst="rect">
          <a:avLst/>
        </a:prstGeom>
      </xdr:spPr>
    </xdr:pic>
    <xdr:clientData/>
  </xdr:twoCellAnchor>
  <xdr:twoCellAnchor editAs="oneCell">
    <xdr:from>
      <xdr:col>7</xdr:col>
      <xdr:colOff>129702</xdr:colOff>
      <xdr:row>23</xdr:row>
      <xdr:rowOff>24318</xdr:rowOff>
    </xdr:from>
    <xdr:to>
      <xdr:col>9</xdr:col>
      <xdr:colOff>3494903</xdr:colOff>
      <xdr:row>28</xdr:row>
      <xdr:rowOff>54243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1A34D2-33EE-4626-B3D2-86107B59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1745" y="4312595"/>
          <a:ext cx="4629796" cy="962159"/>
        </a:xfrm>
        <a:prstGeom prst="rect">
          <a:avLst/>
        </a:prstGeom>
      </xdr:spPr>
    </xdr:pic>
    <xdr:clientData/>
  </xdr:twoCellAnchor>
  <xdr:twoCellAnchor editAs="oneCell">
    <xdr:from>
      <xdr:col>7</xdr:col>
      <xdr:colOff>81064</xdr:colOff>
      <xdr:row>47</xdr:row>
      <xdr:rowOff>40532</xdr:rowOff>
    </xdr:from>
    <xdr:to>
      <xdr:col>9</xdr:col>
      <xdr:colOff>2417422</xdr:colOff>
      <xdr:row>48</xdr:row>
      <xdr:rowOff>158928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A30211-CD18-4358-A86C-3D491EFE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23107" y="8803532"/>
          <a:ext cx="3600953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89170</xdr:colOff>
      <xdr:row>49</xdr:row>
      <xdr:rowOff>56744</xdr:rowOff>
    </xdr:from>
    <xdr:to>
      <xdr:col>9</xdr:col>
      <xdr:colOff>2330264</xdr:colOff>
      <xdr:row>50</xdr:row>
      <xdr:rowOff>156088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A97108-C408-4E50-997A-04B550891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1213" y="9192638"/>
          <a:ext cx="3505689" cy="285790"/>
        </a:xfrm>
        <a:prstGeom prst="rect">
          <a:avLst/>
        </a:prstGeom>
      </xdr:spPr>
    </xdr:pic>
    <xdr:clientData/>
  </xdr:twoCellAnchor>
  <xdr:twoCellAnchor editAs="oneCell">
    <xdr:from>
      <xdr:col>7</xdr:col>
      <xdr:colOff>56744</xdr:colOff>
      <xdr:row>65</xdr:row>
      <xdr:rowOff>121595</xdr:rowOff>
    </xdr:from>
    <xdr:to>
      <xdr:col>9</xdr:col>
      <xdr:colOff>1259468</xdr:colOff>
      <xdr:row>67</xdr:row>
      <xdr:rowOff>63071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D6B523-63BC-4B82-ADC4-035148BE0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98787" y="12240638"/>
          <a:ext cx="2467319" cy="314369"/>
        </a:xfrm>
        <a:prstGeom prst="rect">
          <a:avLst/>
        </a:prstGeom>
      </xdr:spPr>
    </xdr:pic>
    <xdr:clientData/>
  </xdr:twoCellAnchor>
  <xdr:twoCellAnchor editAs="oneCell">
    <xdr:from>
      <xdr:col>7</xdr:col>
      <xdr:colOff>24320</xdr:colOff>
      <xdr:row>69</xdr:row>
      <xdr:rowOff>64850</xdr:rowOff>
    </xdr:from>
    <xdr:to>
      <xdr:col>9</xdr:col>
      <xdr:colOff>2875099</xdr:colOff>
      <xdr:row>71</xdr:row>
      <xdr:rowOff>44431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A054DE-5734-4B88-BA0F-14836D784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6363" y="12929680"/>
          <a:ext cx="4115374" cy="352474"/>
        </a:xfrm>
        <a:prstGeom prst="rect">
          <a:avLst/>
        </a:prstGeom>
      </xdr:spPr>
    </xdr:pic>
    <xdr:clientData/>
  </xdr:twoCellAnchor>
  <xdr:twoCellAnchor editAs="oneCell">
    <xdr:from>
      <xdr:col>7</xdr:col>
      <xdr:colOff>72958</xdr:colOff>
      <xdr:row>35</xdr:row>
      <xdr:rowOff>48638</xdr:rowOff>
    </xdr:from>
    <xdr:to>
      <xdr:col>8</xdr:col>
      <xdr:colOff>559501</xdr:colOff>
      <xdr:row>37</xdr:row>
      <xdr:rowOff>66324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612AB7-6561-477A-9F63-3DE76F3F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1" y="6574276"/>
          <a:ext cx="1143160" cy="39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53580/naratif.v7i2.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6A79-692C-404F-947E-92BA9F13E1D2}">
  <dimension ref="A2:K81"/>
  <sheetViews>
    <sheetView tabSelected="1" topLeftCell="A61" zoomScale="94" zoomScaleNormal="100" workbookViewId="0">
      <selection activeCell="D76" sqref="D76"/>
    </sheetView>
  </sheetViews>
  <sheetFormatPr defaultRowHeight="14.4" x14ac:dyDescent="0.3"/>
  <cols>
    <col min="1" max="1" width="3.44140625" bestFit="1" customWidth="1"/>
    <col min="2" max="2" width="31.21875" bestFit="1" customWidth="1"/>
    <col min="3" max="3" width="12.21875" bestFit="1" customWidth="1"/>
    <col min="8" max="8" width="9.5546875" customWidth="1"/>
    <col min="10" max="10" width="53.88671875" bestFit="1" customWidth="1"/>
  </cols>
  <sheetData>
    <row r="2" spans="2:11" x14ac:dyDescent="0.3">
      <c r="B2" s="1" t="s">
        <v>0</v>
      </c>
      <c r="C2" s="1">
        <v>4</v>
      </c>
      <c r="E2" s="31" t="s">
        <v>51</v>
      </c>
      <c r="F2" s="32"/>
      <c r="G2" s="32"/>
      <c r="H2" s="33"/>
    </row>
    <row r="3" spans="2:11" x14ac:dyDescent="0.3">
      <c r="B3" s="1" t="s">
        <v>1</v>
      </c>
      <c r="C3" s="1" t="s">
        <v>3</v>
      </c>
      <c r="E3" s="34" t="s">
        <v>50</v>
      </c>
      <c r="F3" s="32"/>
      <c r="G3" s="32"/>
      <c r="H3" s="33"/>
    </row>
    <row r="4" spans="2:11" x14ac:dyDescent="0.3">
      <c r="B4" s="1" t="s">
        <v>2</v>
      </c>
      <c r="C4" s="1">
        <v>2113231076</v>
      </c>
    </row>
    <row r="5" spans="2:11" x14ac:dyDescent="0.3">
      <c r="B5" s="1" t="s">
        <v>21</v>
      </c>
      <c r="C5" s="1">
        <v>2113231092</v>
      </c>
    </row>
    <row r="8" spans="2:11" x14ac:dyDescent="0.3">
      <c r="B8" s="38" t="s">
        <v>4</v>
      </c>
      <c r="C8" s="38" t="s">
        <v>10</v>
      </c>
      <c r="D8" s="38"/>
      <c r="E8" s="38"/>
      <c r="F8" s="38"/>
      <c r="G8" s="38"/>
      <c r="I8" s="39" t="s">
        <v>25</v>
      </c>
      <c r="J8" s="39"/>
      <c r="K8" s="6" t="s">
        <v>31</v>
      </c>
    </row>
    <row r="9" spans="2:11" x14ac:dyDescent="0.3">
      <c r="B9" s="38"/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I9" s="4" t="s">
        <v>5</v>
      </c>
      <c r="J9" s="5" t="s">
        <v>30</v>
      </c>
      <c r="K9" s="7">
        <v>0.25</v>
      </c>
    </row>
    <row r="10" spans="2:11" x14ac:dyDescent="0.3">
      <c r="B10" s="1" t="s">
        <v>11</v>
      </c>
      <c r="C10" s="1">
        <v>4</v>
      </c>
      <c r="D10" s="1">
        <v>5</v>
      </c>
      <c r="E10" s="1">
        <v>5</v>
      </c>
      <c r="F10" s="1">
        <v>1</v>
      </c>
      <c r="G10" s="1">
        <v>5</v>
      </c>
      <c r="I10" s="4" t="s">
        <v>6</v>
      </c>
      <c r="J10" s="5" t="s">
        <v>26</v>
      </c>
      <c r="K10" s="7">
        <v>0.25</v>
      </c>
    </row>
    <row r="11" spans="2:11" x14ac:dyDescent="0.3">
      <c r="B11" s="1" t="s">
        <v>12</v>
      </c>
      <c r="C11" s="1">
        <v>5</v>
      </c>
      <c r="D11" s="1">
        <v>4</v>
      </c>
      <c r="E11" s="1">
        <v>3</v>
      </c>
      <c r="F11" s="1">
        <v>3</v>
      </c>
      <c r="G11" s="1">
        <v>5</v>
      </c>
      <c r="I11" s="4" t="s">
        <v>7</v>
      </c>
      <c r="J11" s="5" t="s">
        <v>27</v>
      </c>
      <c r="K11" s="7">
        <v>0.2</v>
      </c>
    </row>
    <row r="12" spans="2:11" x14ac:dyDescent="0.3">
      <c r="B12" s="1" t="s">
        <v>13</v>
      </c>
      <c r="C12" s="1">
        <v>5</v>
      </c>
      <c r="D12" s="1">
        <v>5</v>
      </c>
      <c r="E12" s="1">
        <v>3</v>
      </c>
      <c r="F12" s="1">
        <v>3</v>
      </c>
      <c r="G12" s="1">
        <v>5</v>
      </c>
      <c r="I12" s="4" t="s">
        <v>8</v>
      </c>
      <c r="J12" s="5" t="s">
        <v>28</v>
      </c>
      <c r="K12" s="7">
        <v>0.2</v>
      </c>
    </row>
    <row r="13" spans="2:11" x14ac:dyDescent="0.3">
      <c r="B13" s="1" t="s">
        <v>14</v>
      </c>
      <c r="C13" s="1">
        <v>3</v>
      </c>
      <c r="D13" s="1">
        <v>5</v>
      </c>
      <c r="E13" s="1">
        <v>3</v>
      </c>
      <c r="F13" s="1">
        <v>3</v>
      </c>
      <c r="G13" s="1">
        <v>4</v>
      </c>
      <c r="I13" s="4" t="s">
        <v>9</v>
      </c>
      <c r="J13" s="5" t="s">
        <v>29</v>
      </c>
      <c r="K13" s="7">
        <v>0.1</v>
      </c>
    </row>
    <row r="14" spans="2:11" x14ac:dyDescent="0.3">
      <c r="B14" s="1" t="s">
        <v>15</v>
      </c>
      <c r="C14" s="1">
        <v>4</v>
      </c>
      <c r="D14" s="1">
        <v>5</v>
      </c>
      <c r="E14" s="1">
        <v>5</v>
      </c>
      <c r="F14" s="1">
        <v>5</v>
      </c>
      <c r="G14" s="1">
        <v>4</v>
      </c>
      <c r="I14" s="40" t="s">
        <v>32</v>
      </c>
      <c r="J14" s="40"/>
      <c r="K14" s="23">
        <f>SUM(K9:K13)</f>
        <v>0.99999999999999989</v>
      </c>
    </row>
    <row r="15" spans="2:11" x14ac:dyDescent="0.3">
      <c r="B15" s="1" t="s">
        <v>16</v>
      </c>
      <c r="C15" s="1">
        <v>2</v>
      </c>
      <c r="D15" s="1">
        <v>4</v>
      </c>
      <c r="E15" s="1">
        <v>1</v>
      </c>
      <c r="F15" s="1">
        <v>3</v>
      </c>
      <c r="G15" s="1">
        <v>4</v>
      </c>
    </row>
    <row r="16" spans="2:11" x14ac:dyDescent="0.3">
      <c r="B16" s="1" t="s">
        <v>17</v>
      </c>
      <c r="C16" s="1">
        <v>2</v>
      </c>
      <c r="D16" s="1">
        <v>4</v>
      </c>
      <c r="E16" s="1">
        <v>3</v>
      </c>
      <c r="F16" s="1">
        <v>3</v>
      </c>
      <c r="G16" s="1">
        <v>4</v>
      </c>
    </row>
    <row r="17" spans="1:7" x14ac:dyDescent="0.3">
      <c r="B17" s="1" t="s">
        <v>18</v>
      </c>
      <c r="C17" s="1">
        <v>3</v>
      </c>
      <c r="D17" s="1">
        <v>4</v>
      </c>
      <c r="E17" s="1">
        <v>5</v>
      </c>
      <c r="F17" s="1">
        <v>3</v>
      </c>
      <c r="G17" s="1">
        <v>5</v>
      </c>
    </row>
    <row r="18" spans="1:7" x14ac:dyDescent="0.3">
      <c r="B18" s="1" t="s">
        <v>19</v>
      </c>
      <c r="C18" s="1">
        <v>5</v>
      </c>
      <c r="D18" s="1">
        <v>3</v>
      </c>
      <c r="E18" s="1">
        <v>3</v>
      </c>
      <c r="F18" s="1">
        <v>3</v>
      </c>
      <c r="G18" s="1">
        <v>5</v>
      </c>
    </row>
    <row r="19" spans="1:7" x14ac:dyDescent="0.3">
      <c r="B19" s="1" t="s">
        <v>20</v>
      </c>
      <c r="C19" s="1">
        <v>5</v>
      </c>
      <c r="D19" s="1">
        <v>4</v>
      </c>
      <c r="E19" s="1">
        <v>5</v>
      </c>
      <c r="F19" s="1">
        <v>1</v>
      </c>
      <c r="G19" s="1">
        <v>5</v>
      </c>
    </row>
    <row r="20" spans="1:7" x14ac:dyDescent="0.3">
      <c r="B20" s="35" t="s">
        <v>22</v>
      </c>
      <c r="C20" s="3" t="s">
        <v>23</v>
      </c>
      <c r="D20" s="3" t="s">
        <v>24</v>
      </c>
      <c r="E20" s="3" t="s">
        <v>24</v>
      </c>
      <c r="F20" s="3" t="s">
        <v>24</v>
      </c>
      <c r="G20" s="3" t="s">
        <v>24</v>
      </c>
    </row>
    <row r="21" spans="1:7" x14ac:dyDescent="0.3">
      <c r="B21" s="36"/>
      <c r="C21" s="8">
        <f>K9</f>
        <v>0.25</v>
      </c>
      <c r="D21" s="8">
        <f>K10</f>
        <v>0.25</v>
      </c>
      <c r="E21" s="8">
        <f>K11</f>
        <v>0.2</v>
      </c>
      <c r="F21" s="8">
        <f>K12</f>
        <v>0.2</v>
      </c>
      <c r="G21" s="8">
        <f>K13</f>
        <v>0.1</v>
      </c>
    </row>
    <row r="23" spans="1:7" x14ac:dyDescent="0.3">
      <c r="A23" s="37" t="s">
        <v>33</v>
      </c>
      <c r="B23" s="37"/>
      <c r="C23" s="37"/>
      <c r="D23" s="37"/>
      <c r="E23" s="37"/>
      <c r="F23" s="37"/>
      <c r="G23" s="37"/>
    </row>
    <row r="24" spans="1:7" x14ac:dyDescent="0.3">
      <c r="B24" s="22" t="s">
        <v>34</v>
      </c>
      <c r="C24" s="9">
        <f>SQRT((C10^2)+(C11^2)+(C12^2)+(C13^2)+(C14^2)+(C15^2)+(C16^2)+(C17^2)+(C18^2)+(C19^2))</f>
        <v>12.569805089976535</v>
      </c>
      <c r="D24" s="9">
        <f>SQRT((D10^2)+(D11^2)+(D12^2)+(D13^2)+(D14^2)+(D15^2)+(D16^2)+(D17^2)+(D18^2)+(D19^2))</f>
        <v>13.74772708486752</v>
      </c>
      <c r="E24" s="9">
        <f t="shared" ref="E24:G24" si="0">SQRT((E10^2)+(E11^2)+(E12^2)+(E13^2)+(E14^2)+(E15^2)+(E16^2)+(E17^2)+(E18^2)+(E19^2))</f>
        <v>12.083045973594572</v>
      </c>
      <c r="F24" s="9">
        <f t="shared" si="0"/>
        <v>9.4868329805051381</v>
      </c>
      <c r="G24" s="9">
        <f t="shared" si="0"/>
        <v>14.628738838327793</v>
      </c>
    </row>
    <row r="25" spans="1:7" x14ac:dyDescent="0.3">
      <c r="B25" s="28" t="s">
        <v>35</v>
      </c>
      <c r="C25" s="11">
        <f>C10/C$24</f>
        <v>0.31822291367029198</v>
      </c>
      <c r="D25" s="11">
        <f t="shared" ref="D25:G25" si="1">D10/D$24</f>
        <v>0.36369648372665397</v>
      </c>
      <c r="E25" s="11">
        <f t="shared" si="1"/>
        <v>0.41380294430118397</v>
      </c>
      <c r="F25" s="11">
        <f t="shared" si="1"/>
        <v>0.10540925533894598</v>
      </c>
      <c r="G25" s="11">
        <f t="shared" si="1"/>
        <v>0.34179296351233163</v>
      </c>
    </row>
    <row r="26" spans="1:7" x14ac:dyDescent="0.3">
      <c r="B26" s="28"/>
      <c r="C26" s="11">
        <f t="shared" ref="C26:G34" si="2">C11/C$24</f>
        <v>0.39777864208786501</v>
      </c>
      <c r="D26" s="11">
        <f t="shared" si="2"/>
        <v>0.29095718698132317</v>
      </c>
      <c r="E26" s="11">
        <f t="shared" si="2"/>
        <v>0.24828176658071038</v>
      </c>
      <c r="F26" s="11">
        <f t="shared" si="2"/>
        <v>0.31622776601683794</v>
      </c>
      <c r="G26" s="11">
        <f t="shared" si="2"/>
        <v>0.34179296351233163</v>
      </c>
    </row>
    <row r="27" spans="1:7" x14ac:dyDescent="0.3">
      <c r="B27" s="28"/>
      <c r="C27" s="11">
        <f t="shared" si="2"/>
        <v>0.39777864208786501</v>
      </c>
      <c r="D27" s="11">
        <f t="shared" si="2"/>
        <v>0.36369648372665397</v>
      </c>
      <c r="E27" s="11">
        <f t="shared" si="2"/>
        <v>0.24828176658071038</v>
      </c>
      <c r="F27" s="11">
        <f t="shared" si="2"/>
        <v>0.31622776601683794</v>
      </c>
      <c r="G27" s="11">
        <f>G12/G$24</f>
        <v>0.34179296351233163</v>
      </c>
    </row>
    <row r="28" spans="1:7" x14ac:dyDescent="0.3">
      <c r="B28" s="28"/>
      <c r="C28" s="11">
        <f t="shared" si="2"/>
        <v>0.23866718525271902</v>
      </c>
      <c r="D28" s="11">
        <f t="shared" si="2"/>
        <v>0.36369648372665397</v>
      </c>
      <c r="E28" s="11">
        <f t="shared" si="2"/>
        <v>0.24828176658071038</v>
      </c>
      <c r="F28" s="11">
        <f t="shared" si="2"/>
        <v>0.31622776601683794</v>
      </c>
      <c r="G28" s="11">
        <f t="shared" si="2"/>
        <v>0.27343437080986532</v>
      </c>
    </row>
    <row r="29" spans="1:7" x14ac:dyDescent="0.3">
      <c r="B29" s="28"/>
      <c r="C29" s="11">
        <f t="shared" si="2"/>
        <v>0.31822291367029198</v>
      </c>
      <c r="D29" s="11">
        <f t="shared" si="2"/>
        <v>0.36369648372665397</v>
      </c>
      <c r="E29" s="11">
        <f t="shared" si="2"/>
        <v>0.41380294430118397</v>
      </c>
      <c r="F29" s="11">
        <f t="shared" si="2"/>
        <v>0.52704627669472992</v>
      </c>
      <c r="G29" s="11">
        <f>G14/G$24</f>
        <v>0.27343437080986532</v>
      </c>
    </row>
    <row r="30" spans="1:7" x14ac:dyDescent="0.3">
      <c r="B30" s="28"/>
      <c r="C30" s="11">
        <f t="shared" si="2"/>
        <v>0.15911145683514599</v>
      </c>
      <c r="D30" s="11">
        <f t="shared" si="2"/>
        <v>0.29095718698132317</v>
      </c>
      <c r="E30" s="11">
        <f t="shared" si="2"/>
        <v>8.2760588860236795E-2</v>
      </c>
      <c r="F30" s="11">
        <f t="shared" si="2"/>
        <v>0.31622776601683794</v>
      </c>
      <c r="G30" s="11">
        <f t="shared" si="2"/>
        <v>0.27343437080986532</v>
      </c>
    </row>
    <row r="31" spans="1:7" x14ac:dyDescent="0.3">
      <c r="B31" s="28"/>
      <c r="C31" s="11">
        <f t="shared" si="2"/>
        <v>0.15911145683514599</v>
      </c>
      <c r="D31" s="11">
        <f t="shared" si="2"/>
        <v>0.29095718698132317</v>
      </c>
      <c r="E31" s="11">
        <f t="shared" si="2"/>
        <v>0.24828176658071038</v>
      </c>
      <c r="F31" s="11">
        <f t="shared" si="2"/>
        <v>0.31622776601683794</v>
      </c>
      <c r="G31" s="11">
        <f t="shared" si="2"/>
        <v>0.27343437080986532</v>
      </c>
    </row>
    <row r="32" spans="1:7" x14ac:dyDescent="0.3">
      <c r="B32" s="28"/>
      <c r="C32" s="11">
        <f t="shared" si="2"/>
        <v>0.23866718525271902</v>
      </c>
      <c r="D32" s="11">
        <f t="shared" si="2"/>
        <v>0.29095718698132317</v>
      </c>
      <c r="E32" s="11">
        <f t="shared" si="2"/>
        <v>0.41380294430118397</v>
      </c>
      <c r="F32" s="11">
        <f t="shared" si="2"/>
        <v>0.31622776601683794</v>
      </c>
      <c r="G32" s="11">
        <f t="shared" si="2"/>
        <v>0.34179296351233163</v>
      </c>
    </row>
    <row r="33" spans="2:7" x14ac:dyDescent="0.3">
      <c r="B33" s="28"/>
      <c r="C33" s="11">
        <f t="shared" si="2"/>
        <v>0.39777864208786501</v>
      </c>
      <c r="D33" s="11">
        <f t="shared" si="2"/>
        <v>0.21821789023599236</v>
      </c>
      <c r="E33" s="11">
        <f t="shared" si="2"/>
        <v>0.24828176658071038</v>
      </c>
      <c r="F33" s="11">
        <f t="shared" si="2"/>
        <v>0.31622776601683794</v>
      </c>
      <c r="G33" s="11">
        <f t="shared" si="2"/>
        <v>0.34179296351233163</v>
      </c>
    </row>
    <row r="34" spans="2:7" x14ac:dyDescent="0.3">
      <c r="B34" s="28"/>
      <c r="C34" s="11">
        <f t="shared" si="2"/>
        <v>0.39777864208786501</v>
      </c>
      <c r="D34" s="11">
        <f t="shared" si="2"/>
        <v>0.29095718698132317</v>
      </c>
      <c r="E34" s="11">
        <f t="shared" si="2"/>
        <v>0.41380294430118397</v>
      </c>
      <c r="F34" s="11">
        <f t="shared" si="2"/>
        <v>0.10540925533894598</v>
      </c>
      <c r="G34" s="11">
        <f t="shared" si="2"/>
        <v>0.34179296351233163</v>
      </c>
    </row>
    <row r="36" spans="2:7" x14ac:dyDescent="0.3">
      <c r="B36" s="30" t="s">
        <v>36</v>
      </c>
      <c r="C36" s="30"/>
      <c r="D36" s="30"/>
      <c r="E36" s="30"/>
      <c r="F36" s="30"/>
      <c r="G36" s="30"/>
    </row>
    <row r="37" spans="2:7" x14ac:dyDescent="0.3">
      <c r="B37" s="28" t="s">
        <v>37</v>
      </c>
      <c r="C37" s="13">
        <f>C25*$C$21</f>
        <v>7.9555728417572996E-2</v>
      </c>
      <c r="D37" s="13">
        <f>D25*$D$21</f>
        <v>9.0924120931663494E-2</v>
      </c>
      <c r="E37" s="13">
        <f>E25*$E$21</f>
        <v>8.2760588860236795E-2</v>
      </c>
      <c r="F37" s="13">
        <f>F25*$F$21</f>
        <v>2.1081851067789197E-2</v>
      </c>
      <c r="G37" s="13">
        <f>G25*$G$21</f>
        <v>3.4179296351233165E-2</v>
      </c>
    </row>
    <row r="38" spans="2:7" x14ac:dyDescent="0.3">
      <c r="B38" s="28"/>
      <c r="C38" s="13">
        <f>C26*$C$21</f>
        <v>9.9444660521966252E-2</v>
      </c>
      <c r="D38" s="13">
        <f t="shared" ref="D38:D45" si="3">D26*$D$21</f>
        <v>7.2739296745330792E-2</v>
      </c>
      <c r="E38" s="13">
        <f t="shared" ref="E38:E46" si="4">E26*$E$21</f>
        <v>4.9656353316142078E-2</v>
      </c>
      <c r="F38" s="13">
        <f t="shared" ref="F38:F46" si="5">F26*$F$21</f>
        <v>6.3245553203367597E-2</v>
      </c>
      <c r="G38" s="13">
        <f t="shared" ref="G38:G46" si="6">G26*$G$21</f>
        <v>3.4179296351233165E-2</v>
      </c>
    </row>
    <row r="39" spans="2:7" x14ac:dyDescent="0.3">
      <c r="B39" s="28"/>
      <c r="C39" s="13">
        <f t="shared" ref="C39:C45" si="7">C27*$C$21</f>
        <v>9.9444660521966252E-2</v>
      </c>
      <c r="D39" s="13">
        <f t="shared" si="3"/>
        <v>9.0924120931663494E-2</v>
      </c>
      <c r="E39" s="13">
        <f t="shared" si="4"/>
        <v>4.9656353316142078E-2</v>
      </c>
      <c r="F39" s="13">
        <f t="shared" si="5"/>
        <v>6.3245553203367597E-2</v>
      </c>
      <c r="G39" s="13">
        <f t="shared" si="6"/>
        <v>3.4179296351233165E-2</v>
      </c>
    </row>
    <row r="40" spans="2:7" x14ac:dyDescent="0.3">
      <c r="B40" s="28"/>
      <c r="C40" s="13">
        <f t="shared" si="7"/>
        <v>5.9666796313179754E-2</v>
      </c>
      <c r="D40" s="13">
        <f t="shared" si="3"/>
        <v>9.0924120931663494E-2</v>
      </c>
      <c r="E40" s="13">
        <f t="shared" si="4"/>
        <v>4.9656353316142078E-2</v>
      </c>
      <c r="F40" s="13">
        <f t="shared" si="5"/>
        <v>6.3245553203367597E-2</v>
      </c>
      <c r="G40" s="13">
        <f t="shared" si="6"/>
        <v>2.7343437080986535E-2</v>
      </c>
    </row>
    <row r="41" spans="2:7" x14ac:dyDescent="0.3">
      <c r="B41" s="28"/>
      <c r="C41" s="13">
        <f t="shared" si="7"/>
        <v>7.9555728417572996E-2</v>
      </c>
      <c r="D41" s="13">
        <f t="shared" si="3"/>
        <v>9.0924120931663494E-2</v>
      </c>
      <c r="E41" s="13">
        <f t="shared" si="4"/>
        <v>8.2760588860236795E-2</v>
      </c>
      <c r="F41" s="13">
        <f t="shared" si="5"/>
        <v>0.10540925533894599</v>
      </c>
      <c r="G41" s="13">
        <f t="shared" si="6"/>
        <v>2.7343437080986535E-2</v>
      </c>
    </row>
    <row r="42" spans="2:7" x14ac:dyDescent="0.3">
      <c r="B42" s="28"/>
      <c r="C42" s="13">
        <f t="shared" si="7"/>
        <v>3.9777864208786498E-2</v>
      </c>
      <c r="D42" s="13">
        <f t="shared" si="3"/>
        <v>7.2739296745330792E-2</v>
      </c>
      <c r="E42" s="13">
        <f t="shared" si="4"/>
        <v>1.6552117772047358E-2</v>
      </c>
      <c r="F42" s="13">
        <f t="shared" si="5"/>
        <v>6.3245553203367597E-2</v>
      </c>
      <c r="G42" s="13">
        <f t="shared" si="6"/>
        <v>2.7343437080986535E-2</v>
      </c>
    </row>
    <row r="43" spans="2:7" x14ac:dyDescent="0.3">
      <c r="B43" s="28"/>
      <c r="C43" s="13">
        <f t="shared" si="7"/>
        <v>3.9777864208786498E-2</v>
      </c>
      <c r="D43" s="13">
        <f t="shared" si="3"/>
        <v>7.2739296745330792E-2</v>
      </c>
      <c r="E43" s="13">
        <f t="shared" si="4"/>
        <v>4.9656353316142078E-2</v>
      </c>
      <c r="F43" s="13">
        <f t="shared" si="5"/>
        <v>6.3245553203367597E-2</v>
      </c>
      <c r="G43" s="13">
        <f t="shared" si="6"/>
        <v>2.7343437080986535E-2</v>
      </c>
    </row>
    <row r="44" spans="2:7" x14ac:dyDescent="0.3">
      <c r="B44" s="28"/>
      <c r="C44" s="13">
        <f t="shared" si="7"/>
        <v>5.9666796313179754E-2</v>
      </c>
      <c r="D44" s="13">
        <f t="shared" si="3"/>
        <v>7.2739296745330792E-2</v>
      </c>
      <c r="E44" s="13">
        <f t="shared" si="4"/>
        <v>8.2760588860236795E-2</v>
      </c>
      <c r="F44" s="13">
        <f t="shared" si="5"/>
        <v>6.3245553203367597E-2</v>
      </c>
      <c r="G44" s="13">
        <f t="shared" si="6"/>
        <v>3.4179296351233165E-2</v>
      </c>
    </row>
    <row r="45" spans="2:7" x14ac:dyDescent="0.3">
      <c r="B45" s="28"/>
      <c r="C45" s="13">
        <f t="shared" si="7"/>
        <v>9.9444660521966252E-2</v>
      </c>
      <c r="D45" s="13">
        <f t="shared" si="3"/>
        <v>5.4554472558998091E-2</v>
      </c>
      <c r="E45" s="13">
        <f t="shared" si="4"/>
        <v>4.9656353316142078E-2</v>
      </c>
      <c r="F45" s="13">
        <f t="shared" si="5"/>
        <v>6.3245553203367597E-2</v>
      </c>
      <c r="G45" s="13">
        <f t="shared" si="6"/>
        <v>3.4179296351233165E-2</v>
      </c>
    </row>
    <row r="46" spans="2:7" x14ac:dyDescent="0.3">
      <c r="B46" s="28"/>
      <c r="C46" s="13">
        <f>C34*$C$21</f>
        <v>9.9444660521966252E-2</v>
      </c>
      <c r="D46" s="13">
        <f>D34*$D$21</f>
        <v>7.2739296745330792E-2</v>
      </c>
      <c r="E46" s="13">
        <f t="shared" si="4"/>
        <v>8.2760588860236795E-2</v>
      </c>
      <c r="F46" s="13">
        <f t="shared" si="5"/>
        <v>2.1081851067789197E-2</v>
      </c>
      <c r="G46" s="13">
        <f t="shared" si="6"/>
        <v>3.4179296351233165E-2</v>
      </c>
    </row>
    <row r="47" spans="2:7" x14ac:dyDescent="0.3">
      <c r="C47" s="12"/>
    </row>
    <row r="48" spans="2:7" x14ac:dyDescent="0.3">
      <c r="B48" s="30" t="s">
        <v>38</v>
      </c>
      <c r="C48" s="30"/>
      <c r="D48" s="30"/>
      <c r="E48" s="30"/>
      <c r="F48" s="30"/>
      <c r="G48" s="30"/>
    </row>
    <row r="49" spans="2:7" x14ac:dyDescent="0.3">
      <c r="B49" s="14" t="s">
        <v>39</v>
      </c>
      <c r="C49" s="15">
        <f>MAX(C37:C46)</f>
        <v>9.9444660521966252E-2</v>
      </c>
      <c r="D49" s="15">
        <f t="shared" ref="D49:G49" si="8">MAX(D37:D46)</f>
        <v>9.0924120931663494E-2</v>
      </c>
      <c r="E49" s="15">
        <f t="shared" si="8"/>
        <v>8.2760588860236795E-2</v>
      </c>
      <c r="F49" s="15">
        <f t="shared" si="8"/>
        <v>0.10540925533894599</v>
      </c>
      <c r="G49" s="15">
        <f t="shared" si="8"/>
        <v>3.4179296351233165E-2</v>
      </c>
    </row>
    <row r="50" spans="2:7" x14ac:dyDescent="0.3">
      <c r="B50" s="30" t="s">
        <v>40</v>
      </c>
      <c r="C50" s="30"/>
      <c r="D50" s="30"/>
      <c r="E50" s="30"/>
      <c r="F50" s="30"/>
      <c r="G50" s="30"/>
    </row>
    <row r="51" spans="2:7" x14ac:dyDescent="0.3">
      <c r="B51" s="14" t="s">
        <v>41</v>
      </c>
      <c r="C51" s="15">
        <f>MIN(C37:C46)</f>
        <v>3.9777864208786498E-2</v>
      </c>
      <c r="D51" s="15">
        <f t="shared" ref="D51:G51" si="9">MIN(D37:D46)</f>
        <v>5.4554472558998091E-2</v>
      </c>
      <c r="E51" s="15">
        <f t="shared" si="9"/>
        <v>1.6552117772047358E-2</v>
      </c>
      <c r="F51" s="15">
        <f t="shared" si="9"/>
        <v>2.1081851067789197E-2</v>
      </c>
      <c r="G51" s="15">
        <f t="shared" si="9"/>
        <v>2.7343437080986535E-2</v>
      </c>
    </row>
    <row r="53" spans="2:7" x14ac:dyDescent="0.3">
      <c r="B53" s="30" t="s">
        <v>42</v>
      </c>
      <c r="C53" s="30"/>
      <c r="D53" s="30"/>
      <c r="E53" s="30"/>
      <c r="F53" s="30"/>
      <c r="G53" s="30"/>
    </row>
    <row r="54" spans="2:7" x14ac:dyDescent="0.3">
      <c r="B54" s="26" t="s">
        <v>4</v>
      </c>
      <c r="C54" s="27" t="s">
        <v>43</v>
      </c>
      <c r="D54" s="27" t="s">
        <v>44</v>
      </c>
      <c r="E54" s="17"/>
      <c r="F54" s="17"/>
      <c r="G54" s="17"/>
    </row>
    <row r="55" spans="2:7" x14ac:dyDescent="0.3">
      <c r="B55" s="1" t="s">
        <v>11</v>
      </c>
      <c r="C55" s="16">
        <f>ABS(C37-$C$49)+ABS(D37-$D$49)+ABS(E37-$E$49)+ABS(F37-$F$49)+ABS(G37-$G$49)</f>
        <v>0.10421633637555004</v>
      </c>
      <c r="D55" s="16">
        <f>ABS(C37-$C$51)+ABS(D37-$D$51)+ABS(E37-$E$51)+ABS(F37-$F$51)+ABS(G37-$G$51)</f>
        <v>0.14919184293988796</v>
      </c>
      <c r="E55" s="17"/>
      <c r="F55" s="17"/>
      <c r="G55" s="17"/>
    </row>
    <row r="56" spans="2:7" x14ac:dyDescent="0.3">
      <c r="B56" s="1" t="s">
        <v>12</v>
      </c>
      <c r="C56" s="16">
        <f t="shared" ref="C56:C64" si="10">ABS(C38-$C$49)+ABS(D38-$D$49)+ABS(E38-$E$49)+ABS(F38-$F$49)+ABS(G38-$G$49)</f>
        <v>9.3452761866005818E-2</v>
      </c>
      <c r="D56" s="1">
        <f t="shared" ref="D56:D64" si="11">ABS(C38-$C$51)+ABS(D38-$D$51)+ABS(E38-$E$51)+ABS(F38-$F$51)+ABS(G38-$G$51)</f>
        <v>0.1599554174494322</v>
      </c>
    </row>
    <row r="57" spans="2:7" x14ac:dyDescent="0.3">
      <c r="B57" s="1" t="s">
        <v>13</v>
      </c>
      <c r="C57" s="16">
        <f t="shared" si="10"/>
        <v>7.5267937679673103E-2</v>
      </c>
      <c r="D57" s="1">
        <f t="shared" si="11"/>
        <v>0.17814024163576492</v>
      </c>
    </row>
    <row r="58" spans="2:7" x14ac:dyDescent="0.3">
      <c r="B58" s="1" t="s">
        <v>14</v>
      </c>
      <c r="C58" s="16">
        <f t="shared" si="10"/>
        <v>0.12188166115870623</v>
      </c>
      <c r="D58" s="1">
        <f t="shared" si="11"/>
        <v>0.13152651815673178</v>
      </c>
    </row>
    <row r="59" spans="2:7" x14ac:dyDescent="0.3">
      <c r="B59" s="1" t="s">
        <v>15</v>
      </c>
      <c r="C59" s="16">
        <f t="shared" si="10"/>
        <v>2.6724791374639886E-2</v>
      </c>
      <c r="D59" s="1">
        <f t="shared" si="11"/>
        <v>0.22668338794079812</v>
      </c>
    </row>
    <row r="60" spans="2:7" x14ac:dyDescent="0.3">
      <c r="B60" s="1" t="s">
        <v>16</v>
      </c>
      <c r="C60" s="16">
        <f t="shared" si="10"/>
        <v>0.19305965299352693</v>
      </c>
      <c r="D60" s="1">
        <f t="shared" si="11"/>
        <v>6.0348526321911101E-2</v>
      </c>
    </row>
    <row r="61" spans="2:7" x14ac:dyDescent="0.3">
      <c r="B61" s="1" t="s">
        <v>17</v>
      </c>
      <c r="C61" s="16">
        <f t="shared" si="10"/>
        <v>0.15995541744943217</v>
      </c>
      <c r="D61" s="1">
        <f t="shared" si="11"/>
        <v>9.3452761866005818E-2</v>
      </c>
    </row>
    <row r="62" spans="2:7" x14ac:dyDescent="0.3">
      <c r="B62" s="1" t="s">
        <v>18</v>
      </c>
      <c r="C62" s="16">
        <f t="shared" si="10"/>
        <v>0.10012639053069759</v>
      </c>
      <c r="D62" s="1">
        <f t="shared" si="11"/>
        <v>0.15328178878474041</v>
      </c>
    </row>
    <row r="63" spans="2:7" x14ac:dyDescent="0.3">
      <c r="B63" s="1" t="s">
        <v>19</v>
      </c>
      <c r="C63" s="16">
        <f t="shared" si="10"/>
        <v>0.11163758605233852</v>
      </c>
      <c r="D63" s="1">
        <f t="shared" si="11"/>
        <v>0.14177059326309951</v>
      </c>
    </row>
    <row r="64" spans="2:7" x14ac:dyDescent="0.3">
      <c r="B64" s="1" t="s">
        <v>20</v>
      </c>
      <c r="C64" s="16">
        <f t="shared" si="10"/>
        <v>0.10251222845748949</v>
      </c>
      <c r="D64" s="1">
        <f t="shared" si="11"/>
        <v>0.15089595085794852</v>
      </c>
    </row>
    <row r="66" spans="2:7" x14ac:dyDescent="0.3">
      <c r="B66" s="30" t="s">
        <v>48</v>
      </c>
      <c r="C66" s="30"/>
      <c r="D66" s="30"/>
      <c r="E66" s="30"/>
      <c r="F66" s="30"/>
      <c r="G66" s="30"/>
    </row>
    <row r="67" spans="2:7" x14ac:dyDescent="0.3">
      <c r="B67" s="28" t="s">
        <v>49</v>
      </c>
      <c r="C67" s="21">
        <f>MIN(C55:C64)</f>
        <v>2.6724791374639886E-2</v>
      </c>
      <c r="D67" s="29" t="s">
        <v>43</v>
      </c>
      <c r="E67" s="29"/>
      <c r="F67" s="29"/>
      <c r="G67" s="29"/>
    </row>
    <row r="68" spans="2:7" x14ac:dyDescent="0.3">
      <c r="B68" s="28"/>
      <c r="C68" s="21">
        <f>MAX(D55:D64)</f>
        <v>0.22668338794079812</v>
      </c>
      <c r="D68" s="29" t="s">
        <v>44</v>
      </c>
      <c r="E68" s="29"/>
      <c r="F68" s="29"/>
      <c r="G68" s="29"/>
    </row>
    <row r="69" spans="2:7" x14ac:dyDescent="0.3">
      <c r="B69" s="18"/>
      <c r="C69" s="19"/>
      <c r="D69" s="20"/>
    </row>
    <row r="70" spans="2:7" x14ac:dyDescent="0.3">
      <c r="B70" s="30" t="s">
        <v>45</v>
      </c>
      <c r="C70" s="30"/>
      <c r="D70" s="30"/>
      <c r="E70" s="30"/>
      <c r="F70" s="30"/>
      <c r="G70" s="30"/>
    </row>
    <row r="71" spans="2:7" x14ac:dyDescent="0.3">
      <c r="B71" s="10" t="s">
        <v>4</v>
      </c>
      <c r="C71" s="10" t="s">
        <v>46</v>
      </c>
      <c r="D71" s="10" t="s">
        <v>47</v>
      </c>
    </row>
    <row r="72" spans="2:7" x14ac:dyDescent="0.3">
      <c r="B72" s="1" t="s">
        <v>11</v>
      </c>
      <c r="C72" s="25">
        <f>SQRT((C55-$C$67)^2 + (D55-$C$68)^2)</f>
        <v>0.10958959390953216</v>
      </c>
      <c r="D72" s="24">
        <f>RANK(C72,$C$72:$C$81,1)</f>
        <v>6</v>
      </c>
    </row>
    <row r="73" spans="2:7" x14ac:dyDescent="0.3">
      <c r="B73" s="1" t="s">
        <v>12</v>
      </c>
      <c r="C73" s="25">
        <f t="shared" ref="C73:C81" si="12">SQRT((C56-$C$67)^2 + (D56-$C$68)^2)</f>
        <v>9.4367600858521375E-2</v>
      </c>
      <c r="D73" s="24">
        <f t="shared" ref="D73:D81" si="13">RANK(C73,$C$72:$C$81,1)</f>
        <v>3</v>
      </c>
    </row>
    <row r="74" spans="2:7" x14ac:dyDescent="0.3">
      <c r="B74" s="1" t="s">
        <v>13</v>
      </c>
      <c r="C74" s="25">
        <f t="shared" si="12"/>
        <v>6.8650375864839353E-2</v>
      </c>
      <c r="D74" s="24">
        <f t="shared" si="13"/>
        <v>2</v>
      </c>
    </row>
    <row r="75" spans="2:7" x14ac:dyDescent="0.3">
      <c r="B75" s="1" t="s">
        <v>14</v>
      </c>
      <c r="C75" s="25">
        <f t="shared" si="12"/>
        <v>0.13457213580159719</v>
      </c>
      <c r="D75" s="24">
        <f t="shared" si="13"/>
        <v>8</v>
      </c>
    </row>
    <row r="76" spans="2:7" x14ac:dyDescent="0.3">
      <c r="B76" s="1" t="s">
        <v>15</v>
      </c>
      <c r="C76" s="25">
        <f t="shared" si="12"/>
        <v>0</v>
      </c>
      <c r="D76" s="24">
        <f t="shared" si="13"/>
        <v>1</v>
      </c>
    </row>
    <row r="77" spans="2:7" x14ac:dyDescent="0.3">
      <c r="B77" s="1" t="s">
        <v>16</v>
      </c>
      <c r="C77" s="25">
        <f t="shared" si="12"/>
        <v>0.23523301719688203</v>
      </c>
      <c r="D77" s="24">
        <f t="shared" si="13"/>
        <v>10</v>
      </c>
    </row>
    <row r="78" spans="2:7" x14ac:dyDescent="0.3">
      <c r="B78" s="1" t="s">
        <v>17</v>
      </c>
      <c r="C78" s="25">
        <f t="shared" si="12"/>
        <v>0.18841655831842979</v>
      </c>
      <c r="D78" s="24">
        <f t="shared" si="13"/>
        <v>9</v>
      </c>
    </row>
    <row r="79" spans="2:7" x14ac:dyDescent="0.3">
      <c r="B79" s="1" t="s">
        <v>18</v>
      </c>
      <c r="C79" s="25">
        <f t="shared" si="12"/>
        <v>0.10380553702637033</v>
      </c>
      <c r="D79" s="24">
        <f t="shared" si="13"/>
        <v>4</v>
      </c>
    </row>
    <row r="80" spans="2:7" x14ac:dyDescent="0.3">
      <c r="B80" s="1" t="s">
        <v>19</v>
      </c>
      <c r="C80" s="25">
        <f t="shared" si="12"/>
        <v>0.12008482585220334</v>
      </c>
      <c r="D80" s="24">
        <f t="shared" si="13"/>
        <v>7</v>
      </c>
    </row>
    <row r="81" spans="2:4" x14ac:dyDescent="0.3">
      <c r="B81" s="1" t="s">
        <v>20</v>
      </c>
      <c r="C81" s="25">
        <f t="shared" si="12"/>
        <v>0.10717962138006354</v>
      </c>
      <c r="D81" s="24">
        <f t="shared" si="13"/>
        <v>5</v>
      </c>
    </row>
  </sheetData>
  <mergeCells count="19">
    <mergeCell ref="C8:G8"/>
    <mergeCell ref="I8:J8"/>
    <mergeCell ref="I14:J14"/>
    <mergeCell ref="B67:B68"/>
    <mergeCell ref="D67:G67"/>
    <mergeCell ref="D68:G68"/>
    <mergeCell ref="B70:G70"/>
    <mergeCell ref="E2:H2"/>
    <mergeCell ref="E3:H3"/>
    <mergeCell ref="B50:G50"/>
    <mergeCell ref="B20:B21"/>
    <mergeCell ref="B36:G36"/>
    <mergeCell ref="B37:B46"/>
    <mergeCell ref="B48:G48"/>
    <mergeCell ref="B53:G53"/>
    <mergeCell ref="B66:G66"/>
    <mergeCell ref="A23:G23"/>
    <mergeCell ref="B25:B34"/>
    <mergeCell ref="B8:B9"/>
  </mergeCells>
  <phoneticPr fontId="3" type="noConversion"/>
  <hyperlinks>
    <hyperlink ref="E3" r:id="rId1" xr:uid="{6CB9CE96-499E-4CBD-9CC6-B048894AD75F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Sauzan</dc:creator>
  <cp:lastModifiedBy>Sauzan</cp:lastModifiedBy>
  <dcterms:created xsi:type="dcterms:W3CDTF">2026-06-23T02:58:05Z</dcterms:created>
  <dcterms:modified xsi:type="dcterms:W3CDTF">2026-07-12T09:49:02Z</dcterms:modified>
</cp:coreProperties>
</file>